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fish7\OneDrive\바탕 화면\운임 원가 산출 프로젝트\"/>
    </mc:Choice>
  </mc:AlternateContent>
  <xr:revisionPtr revIDLastSave="0" documentId="8_{1C8A96FC-C112-46D0-B787-6344C60298B0}" xr6:coauthVersionLast="47" xr6:coauthVersionMax="47" xr10:uidLastSave="{00000000-0000-0000-0000-000000000000}"/>
  <bookViews>
    <workbookView xWindow="52320" yWindow="1680" windowWidth="23040" windowHeight="18645" activeTab="4" xr2:uid="{ED6D01FA-A2AC-4178-85C9-18A07BEE69C3}"/>
  </bookViews>
  <sheets>
    <sheet name="해상운임" sheetId="1" r:id="rId1"/>
    <sheet name="하버링크 C.C" sheetId="7" r:id="rId2"/>
    <sheet name="포트국경운임" sheetId="2" r:id="rId3"/>
    <sheet name="국경목적지운임" sheetId="5" r:id="rId4"/>
    <sheet name="원가산출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6" l="1"/>
  <c r="F28" i="6"/>
  <c r="F29" i="6"/>
  <c r="F30" i="6"/>
  <c r="F31" i="6"/>
  <c r="F32" i="6"/>
  <c r="F33" i="6"/>
  <c r="F26" i="6"/>
  <c r="K33" i="6"/>
  <c r="K32" i="6"/>
  <c r="K31" i="6"/>
  <c r="K30" i="6"/>
  <c r="K29" i="6"/>
  <c r="K28" i="6"/>
  <c r="K27" i="6"/>
  <c r="K26" i="6"/>
  <c r="E33" i="6"/>
  <c r="E32" i="6"/>
  <c r="E31" i="6"/>
  <c r="E30" i="6"/>
  <c r="E29" i="6"/>
  <c r="E28" i="6"/>
  <c r="E27" i="6"/>
  <c r="E26" i="6"/>
  <c r="D33" i="6"/>
  <c r="D32" i="6"/>
  <c r="D31" i="6"/>
  <c r="D30" i="6"/>
  <c r="D29" i="6"/>
  <c r="D28" i="6"/>
  <c r="D27" i="6"/>
  <c r="D26" i="6" l="1"/>
  <c r="M9" i="6"/>
  <c r="M10" i="6"/>
  <c r="M11" i="6"/>
  <c r="M12" i="6"/>
  <c r="M13" i="6"/>
  <c r="M14" i="6"/>
  <c r="M15" i="6"/>
  <c r="M8" i="6"/>
  <c r="M27" i="6"/>
  <c r="M28" i="6"/>
  <c r="M29" i="6"/>
  <c r="M30" i="6"/>
  <c r="M31" i="6"/>
  <c r="M32" i="6"/>
  <c r="M26" i="6"/>
  <c r="F19" i="6"/>
  <c r="N19" i="6" s="1"/>
  <c r="P19" i="6" s="1"/>
  <c r="E19" i="6"/>
  <c r="D19" i="6"/>
  <c r="F18" i="6"/>
  <c r="N18" i="6" s="1"/>
  <c r="P18" i="6" s="1"/>
  <c r="E18" i="6"/>
  <c r="D18" i="6"/>
  <c r="J33" i="6"/>
  <c r="I33" i="6"/>
  <c r="M33" i="6"/>
  <c r="J32" i="6"/>
  <c r="I32" i="6"/>
  <c r="J31" i="6"/>
  <c r="I31" i="6"/>
  <c r="J30" i="6"/>
  <c r="J29" i="6"/>
  <c r="I29" i="6"/>
  <c r="J28" i="6"/>
  <c r="I28" i="6"/>
  <c r="J27" i="6"/>
  <c r="J26" i="6"/>
  <c r="I26" i="6"/>
  <c r="F37" i="6"/>
  <c r="N37" i="6" s="1"/>
  <c r="P37" i="6" s="1"/>
  <c r="F36" i="6"/>
  <c r="E37" i="6"/>
  <c r="E36" i="6"/>
  <c r="C4" i="1"/>
  <c r="C3" i="1"/>
  <c r="C2" i="1"/>
  <c r="C7" i="1"/>
  <c r="N36" i="6" l="1"/>
  <c r="P36" i="6" s="1"/>
  <c r="G26" i="6" a="1"/>
  <c r="G26" i="6" s="1"/>
  <c r="G29" i="6" a="1"/>
  <c r="G29" i="6" s="1"/>
  <c r="O29" i="6" s="1"/>
  <c r="Q29" i="6" s="1"/>
  <c r="G33" i="6" a="1"/>
  <c r="G33" i="6" s="1"/>
  <c r="O33" i="6" s="1"/>
  <c r="Q33" i="6" s="1"/>
  <c r="G30" i="6" a="1"/>
  <c r="G30" i="6" s="1"/>
  <c r="G27" i="6" a="1"/>
  <c r="G27" i="6" s="1"/>
  <c r="G32" i="6" a="1"/>
  <c r="G32" i="6" s="1"/>
  <c r="O32" i="6" s="1"/>
  <c r="Q32" i="6" s="1"/>
  <c r="G28" i="6" a="1"/>
  <c r="G28" i="6" s="1"/>
  <c r="O28" i="6" s="1"/>
  <c r="Q28" i="6" s="1"/>
  <c r="I30" i="6"/>
  <c r="I27" i="6"/>
  <c r="G31" i="6" a="1"/>
  <c r="G31" i="6" s="1"/>
  <c r="O31" i="6" s="1"/>
  <c r="Q31" i="6" s="1"/>
  <c r="C6" i="1"/>
  <c r="O26" i="6" l="1"/>
  <c r="Q26" i="6" s="1"/>
  <c r="O27" i="6"/>
  <c r="Q27" i="6" s="1"/>
  <c r="O30" i="6"/>
  <c r="Q30" i="6" s="1"/>
  <c r="K12" i="6"/>
  <c r="K15" i="6" l="1"/>
  <c r="K14" i="6"/>
  <c r="K13" i="6"/>
  <c r="F15" i="6"/>
  <c r="J15" i="6" s="1"/>
  <c r="E15" i="6"/>
  <c r="I15" i="6" s="1"/>
  <c r="D15" i="6"/>
  <c r="F14" i="6"/>
  <c r="J14" i="6" s="1"/>
  <c r="E14" i="6"/>
  <c r="I14" i="6" s="1"/>
  <c r="D14" i="6"/>
  <c r="F13" i="6"/>
  <c r="J13" i="6" s="1"/>
  <c r="E13" i="6"/>
  <c r="I13" i="6" s="1"/>
  <c r="D13" i="6"/>
  <c r="F12" i="6"/>
  <c r="J12" i="6" s="1"/>
  <c r="E12" i="6"/>
  <c r="I12" i="6" s="1"/>
  <c r="D12" i="6"/>
  <c r="G12" i="6" l="1" a="1"/>
  <c r="G12" i="6" s="1"/>
  <c r="G13" i="6" a="1"/>
  <c r="G13" i="6" s="1"/>
  <c r="O13" i="6" s="1"/>
  <c r="Q13" i="6" s="1"/>
  <c r="G15" i="6" a="1"/>
  <c r="G15" i="6" s="1"/>
  <c r="O15" i="6" s="1"/>
  <c r="Q15" i="6" s="1"/>
  <c r="G14" i="6" a="1"/>
  <c r="G14" i="6" s="1"/>
  <c r="O14" i="6" s="1"/>
  <c r="Q14" i="6" s="1"/>
  <c r="K9" i="6"/>
  <c r="K10" i="6"/>
  <c r="K11" i="6"/>
  <c r="K8" i="6"/>
  <c r="F9" i="6"/>
  <c r="J9" i="6" s="1"/>
  <c r="F10" i="6"/>
  <c r="J10" i="6" s="1"/>
  <c r="F11" i="6"/>
  <c r="J11" i="6" s="1"/>
  <c r="F8" i="6"/>
  <c r="J8" i="6" s="1"/>
  <c r="O12" i="6" l="1"/>
  <c r="Q12" i="6" s="1"/>
  <c r="E9" i="6"/>
  <c r="E10" i="6"/>
  <c r="E11" i="6"/>
  <c r="E8" i="6"/>
  <c r="D9" i="6"/>
  <c r="D10" i="6"/>
  <c r="D11" i="6"/>
  <c r="D8" i="6"/>
  <c r="G8" i="6" l="1" a="1"/>
  <c r="G8" i="6" s="1"/>
  <c r="G11" i="6" a="1"/>
  <c r="G11" i="6" s="1"/>
  <c r="G10" i="6" a="1"/>
  <c r="G10" i="6" s="1"/>
  <c r="G9" i="6" a="1"/>
  <c r="G9" i="6" s="1"/>
  <c r="I8" i="6"/>
  <c r="I11" i="6"/>
  <c r="I10" i="6"/>
  <c r="I9" i="6"/>
  <c r="O9" i="6" l="1"/>
  <c r="Q9" i="6" s="1"/>
  <c r="O11" i="6"/>
  <c r="Q11" i="6" s="1"/>
  <c r="O10" i="6"/>
  <c r="Q10" i="6" s="1"/>
  <c r="O8" i="6"/>
  <c r="Q8" i="6" s="1"/>
</calcChain>
</file>

<file path=xl/sharedStrings.xml><?xml version="1.0" encoding="utf-8"?>
<sst xmlns="http://schemas.openxmlformats.org/spreadsheetml/2006/main" count="161" uniqueCount="51">
  <si>
    <t>POL</t>
    <phoneticPr fontId="1" type="noConversion"/>
  </si>
  <si>
    <t>POD</t>
    <phoneticPr fontId="1" type="noConversion"/>
  </si>
  <si>
    <t>부산</t>
  </si>
  <si>
    <t>부산</t>
    <phoneticPr fontId="1" type="noConversion"/>
  </si>
  <si>
    <t>청도</t>
    <phoneticPr fontId="1" type="noConversion"/>
  </si>
  <si>
    <t>천진</t>
    <phoneticPr fontId="1" type="noConversion"/>
  </si>
  <si>
    <t>연운</t>
    <phoneticPr fontId="1" type="noConversion"/>
  </si>
  <si>
    <t>인천</t>
  </si>
  <si>
    <t>인천</t>
    <phoneticPr fontId="1" type="noConversion"/>
  </si>
  <si>
    <t>다강</t>
  </si>
  <si>
    <t>다강</t>
    <phoneticPr fontId="1" type="noConversion"/>
  </si>
  <si>
    <t>O/F</t>
    <phoneticPr fontId="1" type="noConversion"/>
  </si>
  <si>
    <t>하버링크</t>
    <phoneticPr fontId="1" type="noConversion"/>
  </si>
  <si>
    <t>WJ</t>
    <phoneticPr fontId="1" type="noConversion"/>
  </si>
  <si>
    <t>LB</t>
    <phoneticPr fontId="1" type="noConversion"/>
  </si>
  <si>
    <t>POD-KASHI</t>
    <phoneticPr fontId="1" type="noConversion"/>
  </si>
  <si>
    <t>KASHI-F.D</t>
    <phoneticPr fontId="1" type="noConversion"/>
  </si>
  <si>
    <t>OSH</t>
    <phoneticPr fontId="1" type="noConversion"/>
  </si>
  <si>
    <t>BISHKEK</t>
  </si>
  <si>
    <t>BISHKEK</t>
    <phoneticPr fontId="1" type="noConversion"/>
  </si>
  <si>
    <t>거래처</t>
    <phoneticPr fontId="1" type="noConversion"/>
  </si>
  <si>
    <t>국내운송료</t>
    <phoneticPr fontId="1" type="noConversion"/>
  </si>
  <si>
    <t>원가</t>
    <phoneticPr fontId="1" type="noConversion"/>
  </si>
  <si>
    <t>PROFIT</t>
    <phoneticPr fontId="1" type="noConversion"/>
  </si>
  <si>
    <t>시노트란스</t>
    <phoneticPr fontId="1" type="noConversion"/>
  </si>
  <si>
    <t>해상</t>
    <phoneticPr fontId="1" type="noConversion"/>
  </si>
  <si>
    <t>최종</t>
    <phoneticPr fontId="1" type="noConversion"/>
  </si>
  <si>
    <t>무게</t>
    <phoneticPr fontId="1" type="noConversion"/>
  </si>
  <si>
    <t>ANDIJAN</t>
    <phoneticPr fontId="1" type="noConversion"/>
  </si>
  <si>
    <t>국경</t>
    <phoneticPr fontId="1" type="noConversion"/>
  </si>
  <si>
    <t>목적지</t>
    <phoneticPr fontId="1" type="noConversion"/>
  </si>
  <si>
    <t>ㅇㅇ</t>
    <phoneticPr fontId="1" type="noConversion"/>
  </si>
  <si>
    <t>selling</t>
    <phoneticPr fontId="1" type="noConversion"/>
  </si>
  <si>
    <t>거래처2</t>
    <phoneticPr fontId="1" type="noConversion"/>
  </si>
  <si>
    <t>COWIN</t>
    <phoneticPr fontId="1" type="noConversion"/>
  </si>
  <si>
    <t>D/O(DTHC)</t>
    <phoneticPr fontId="1" type="noConversion"/>
  </si>
  <si>
    <t>중량할증</t>
    <phoneticPr fontId="1" type="noConversion"/>
  </si>
  <si>
    <t>기타비용</t>
    <phoneticPr fontId="1" type="noConversion"/>
  </si>
  <si>
    <t>COC</t>
    <phoneticPr fontId="1" type="noConversion"/>
  </si>
  <si>
    <t>TYPE</t>
    <phoneticPr fontId="1" type="noConversion"/>
  </si>
  <si>
    <t>SITC</t>
    <phoneticPr fontId="1" type="noConversion"/>
  </si>
  <si>
    <t>두우</t>
    <phoneticPr fontId="1" type="noConversion"/>
  </si>
  <si>
    <t>DP</t>
    <phoneticPr fontId="1" type="noConversion"/>
  </si>
  <si>
    <t>흥아</t>
    <phoneticPr fontId="1" type="noConversion"/>
  </si>
  <si>
    <t>WJ COC</t>
    <phoneticPr fontId="1" type="noConversion"/>
  </si>
  <si>
    <t>하버링크 COC</t>
    <phoneticPr fontId="1" type="noConversion"/>
  </si>
  <si>
    <t>하버링크CC</t>
    <phoneticPr fontId="1" type="noConversion"/>
  </si>
  <si>
    <t>CC</t>
    <phoneticPr fontId="1" type="noConversion"/>
  </si>
  <si>
    <t>청도-OSH</t>
    <phoneticPr fontId="1" type="noConversion"/>
  </si>
  <si>
    <t>다강-OSH</t>
    <phoneticPr fontId="1" type="noConversion"/>
  </si>
  <si>
    <t>천진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</si>
</sst>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EB0C9-CAAA-40DB-AC97-DEC7BFFA975F}">
  <sheetPr codeName="Sheet1"/>
  <dimension ref="A1:E8"/>
  <sheetViews>
    <sheetView workbookViewId="0">
      <selection activeCell="L26" sqref="L26"/>
    </sheetView>
  </sheetViews>
  <sheetFormatPr defaultRowHeight="12" x14ac:dyDescent="0.3"/>
  <cols>
    <col min="1" max="16384" width="9" style="4"/>
  </cols>
  <sheetData>
    <row r="1" spans="1:5" x14ac:dyDescent="0.3">
      <c r="A1" s="9" t="s">
        <v>0</v>
      </c>
      <c r="B1" s="9" t="s">
        <v>1</v>
      </c>
      <c r="C1" s="9" t="s">
        <v>11</v>
      </c>
    </row>
    <row r="2" spans="1:5" x14ac:dyDescent="0.3">
      <c r="A2" s="5" t="s">
        <v>3</v>
      </c>
      <c r="B2" s="5" t="s">
        <v>4</v>
      </c>
      <c r="C2" s="12">
        <f>400+20</f>
        <v>420</v>
      </c>
      <c r="D2" s="4" t="s">
        <v>43</v>
      </c>
    </row>
    <row r="3" spans="1:5" x14ac:dyDescent="0.3">
      <c r="A3" s="5" t="s">
        <v>3</v>
      </c>
      <c r="B3" s="5" t="s">
        <v>5</v>
      </c>
      <c r="C3" s="12">
        <f>400+20</f>
        <v>420</v>
      </c>
      <c r="D3" s="4" t="s">
        <v>43</v>
      </c>
    </row>
    <row r="4" spans="1:5" x14ac:dyDescent="0.3">
      <c r="A4" s="5" t="s">
        <v>3</v>
      </c>
      <c r="B4" s="5" t="s">
        <v>6</v>
      </c>
      <c r="C4" s="12">
        <f>400+20</f>
        <v>420</v>
      </c>
      <c r="D4" s="4" t="s">
        <v>43</v>
      </c>
    </row>
    <row r="5" spans="1:5" x14ac:dyDescent="0.3">
      <c r="A5" s="5" t="s">
        <v>8</v>
      </c>
      <c r="B5" s="5" t="s">
        <v>4</v>
      </c>
      <c r="C5" s="5">
        <v>580</v>
      </c>
      <c r="D5" s="4" t="s">
        <v>40</v>
      </c>
      <c r="E5" s="4" t="s">
        <v>46</v>
      </c>
    </row>
    <row r="6" spans="1:5" x14ac:dyDescent="0.3">
      <c r="A6" s="5" t="s">
        <v>8</v>
      </c>
      <c r="B6" s="5" t="s">
        <v>5</v>
      </c>
      <c r="C6" s="5">
        <f>100+200+490</f>
        <v>790</v>
      </c>
      <c r="D6" s="4" t="s">
        <v>41</v>
      </c>
    </row>
    <row r="7" spans="1:5" x14ac:dyDescent="0.3">
      <c r="A7" s="5" t="s">
        <v>8</v>
      </c>
      <c r="B7" s="5" t="s">
        <v>6</v>
      </c>
      <c r="C7" s="5">
        <f>450+36+4</f>
        <v>490</v>
      </c>
    </row>
    <row r="8" spans="1:5" x14ac:dyDescent="0.3">
      <c r="A8" s="5" t="s">
        <v>8</v>
      </c>
      <c r="B8" s="5" t="s">
        <v>10</v>
      </c>
      <c r="C8" s="5">
        <v>200</v>
      </c>
      <c r="E8" s="4" t="s">
        <v>47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BBACD-64B7-4A79-A54E-7D1F4921939B}">
  <sheetPr codeName="Sheet3"/>
  <dimension ref="A1:F2"/>
  <sheetViews>
    <sheetView workbookViewId="0">
      <selection activeCell="B2" sqref="B2"/>
    </sheetView>
  </sheetViews>
  <sheetFormatPr defaultRowHeight="12" x14ac:dyDescent="0.3"/>
  <cols>
    <col min="1" max="1" width="11.625" style="4" bestFit="1" customWidth="1"/>
    <col min="2" max="16384" width="9" style="4"/>
  </cols>
  <sheetData>
    <row r="1" spans="1:6" x14ac:dyDescent="0.3">
      <c r="A1" s="6" t="s">
        <v>8</v>
      </c>
      <c r="B1" s="6" t="s">
        <v>48</v>
      </c>
      <c r="C1" s="6" t="s">
        <v>49</v>
      </c>
      <c r="D1" s="6" t="s">
        <v>6</v>
      </c>
      <c r="E1" s="6" t="s">
        <v>10</v>
      </c>
    </row>
    <row r="2" spans="1:6" x14ac:dyDescent="0.3">
      <c r="A2" s="5" t="s">
        <v>12</v>
      </c>
      <c r="B2" s="12">
        <v>2550</v>
      </c>
      <c r="C2" s="5">
        <v>1</v>
      </c>
      <c r="D2" s="5">
        <v>1</v>
      </c>
      <c r="E2" s="5">
        <v>1</v>
      </c>
      <c r="F2" s="7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DCBCC-2A1A-4F9E-8095-B3C6B8ABD10F}">
  <sheetPr codeName="Sheet2"/>
  <dimension ref="A1:F5"/>
  <sheetViews>
    <sheetView workbookViewId="0">
      <selection activeCell="D26" sqref="D26"/>
    </sheetView>
  </sheetViews>
  <sheetFormatPr defaultRowHeight="12" x14ac:dyDescent="0.3"/>
  <cols>
    <col min="1" max="1" width="11.625" style="4" bestFit="1" customWidth="1"/>
    <col min="2" max="16384" width="9" style="4"/>
  </cols>
  <sheetData>
    <row r="1" spans="1:6" x14ac:dyDescent="0.3">
      <c r="A1" s="6" t="s">
        <v>15</v>
      </c>
      <c r="B1" s="6" t="s">
        <v>4</v>
      </c>
      <c r="C1" s="6" t="s">
        <v>5</v>
      </c>
      <c r="D1" s="6" t="s">
        <v>6</v>
      </c>
      <c r="E1" s="6" t="s">
        <v>10</v>
      </c>
    </row>
    <row r="2" spans="1:6" x14ac:dyDescent="0.3">
      <c r="A2" s="5" t="s">
        <v>12</v>
      </c>
      <c r="B2" s="12">
        <v>2550</v>
      </c>
      <c r="C2" s="5">
        <v>1</v>
      </c>
      <c r="D2" s="5">
        <v>1</v>
      </c>
      <c r="E2" s="5">
        <v>1</v>
      </c>
      <c r="F2" s="7"/>
    </row>
    <row r="3" spans="1:6" x14ac:dyDescent="0.3">
      <c r="A3" s="5" t="s">
        <v>13</v>
      </c>
      <c r="B3" s="5">
        <v>2</v>
      </c>
      <c r="C3" s="5">
        <v>2</v>
      </c>
      <c r="D3" s="5">
        <v>2</v>
      </c>
      <c r="E3" s="5">
        <v>2</v>
      </c>
      <c r="F3" s="7"/>
    </row>
    <row r="4" spans="1:6" x14ac:dyDescent="0.3">
      <c r="A4" s="5" t="s">
        <v>14</v>
      </c>
      <c r="B4" s="5">
        <v>3</v>
      </c>
      <c r="C4" s="5">
        <v>3</v>
      </c>
      <c r="D4" s="5">
        <v>3</v>
      </c>
      <c r="E4" s="5">
        <v>3</v>
      </c>
      <c r="F4" s="7"/>
    </row>
    <row r="5" spans="1:6" x14ac:dyDescent="0.3">
      <c r="A5" s="5" t="s">
        <v>24</v>
      </c>
      <c r="B5" s="5">
        <v>4</v>
      </c>
      <c r="C5" s="5">
        <v>4</v>
      </c>
      <c r="D5" s="5">
        <v>4</v>
      </c>
      <c r="E5" s="5">
        <v>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4AC94-F0D2-4A9F-B960-994905978D69}">
  <dimension ref="A1:E6"/>
  <sheetViews>
    <sheetView workbookViewId="0">
      <selection activeCell="J22" sqref="J22"/>
    </sheetView>
  </sheetViews>
  <sheetFormatPr defaultRowHeight="12" x14ac:dyDescent="0.3"/>
  <cols>
    <col min="1" max="1" width="11.25" style="4" bestFit="1" customWidth="1"/>
    <col min="2" max="16384" width="9" style="4"/>
  </cols>
  <sheetData>
    <row r="1" spans="1:5" x14ac:dyDescent="0.3">
      <c r="A1" s="6" t="s">
        <v>16</v>
      </c>
      <c r="B1" s="6" t="s">
        <v>17</v>
      </c>
      <c r="C1" s="6" t="s">
        <v>19</v>
      </c>
      <c r="D1" s="8" t="s">
        <v>28</v>
      </c>
      <c r="E1" s="8" t="s">
        <v>31</v>
      </c>
    </row>
    <row r="2" spans="1:5" x14ac:dyDescent="0.3">
      <c r="A2" s="1" t="s">
        <v>12</v>
      </c>
      <c r="B2" s="1">
        <v>2000</v>
      </c>
      <c r="C2" s="1">
        <v>2000</v>
      </c>
      <c r="D2" s="1">
        <v>2000</v>
      </c>
      <c r="E2" s="1">
        <v>13</v>
      </c>
    </row>
    <row r="3" spans="1:5" x14ac:dyDescent="0.3">
      <c r="A3" s="1" t="s">
        <v>13</v>
      </c>
      <c r="B3" s="1">
        <v>2050</v>
      </c>
      <c r="C3" s="1">
        <v>2050</v>
      </c>
      <c r="D3" s="1">
        <v>2050</v>
      </c>
      <c r="E3" s="1">
        <v>33</v>
      </c>
    </row>
    <row r="4" spans="1:5" x14ac:dyDescent="0.3">
      <c r="A4" s="5" t="s">
        <v>14</v>
      </c>
      <c r="B4" s="1">
        <v>2080</v>
      </c>
      <c r="C4" s="1">
        <v>2080</v>
      </c>
      <c r="D4" s="1">
        <v>2080</v>
      </c>
      <c r="E4" s="1">
        <v>43</v>
      </c>
    </row>
    <row r="5" spans="1:5" x14ac:dyDescent="0.3">
      <c r="A5" s="5" t="s">
        <v>24</v>
      </c>
      <c r="B5" s="1">
        <v>1900</v>
      </c>
      <c r="C5" s="1">
        <v>1950</v>
      </c>
      <c r="D5" s="1">
        <v>2000</v>
      </c>
      <c r="E5" s="1">
        <v>80</v>
      </c>
    </row>
    <row r="6" spans="1:5" x14ac:dyDescent="0.3">
      <c r="A6" s="5" t="s">
        <v>34</v>
      </c>
      <c r="B6" s="5">
        <v>1950</v>
      </c>
      <c r="C6" s="5">
        <v>1850</v>
      </c>
      <c r="D6" s="5">
        <v>1650</v>
      </c>
      <c r="E6" s="5">
        <v>180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9D907-B450-405B-91AE-B92A2599F26F}">
  <dimension ref="A1:Q37"/>
  <sheetViews>
    <sheetView tabSelected="1" workbookViewId="0">
      <selection activeCell="F47" sqref="F47"/>
    </sheetView>
  </sheetViews>
  <sheetFormatPr defaultRowHeight="12" x14ac:dyDescent="0.3"/>
  <cols>
    <col min="1" max="1" width="9" style="2"/>
    <col min="2" max="2" width="11" style="2" bestFit="1" customWidth="1"/>
    <col min="3" max="4" width="11" style="2" customWidth="1"/>
    <col min="5" max="13" width="9" style="2"/>
    <col min="14" max="14" width="11" style="2" bestFit="1" customWidth="1"/>
    <col min="15" max="16384" width="9" style="2"/>
  </cols>
  <sheetData>
    <row r="1" spans="1:17" ht="12.75" thickBot="1" x14ac:dyDescent="0.35"/>
    <row r="2" spans="1:17" x14ac:dyDescent="0.3">
      <c r="C2" s="16" t="s">
        <v>0</v>
      </c>
      <c r="D2" s="17" t="s">
        <v>1</v>
      </c>
      <c r="E2" s="17" t="s">
        <v>30</v>
      </c>
      <c r="F2" s="18" t="s">
        <v>27</v>
      </c>
      <c r="H2" s="16" t="s">
        <v>3</v>
      </c>
      <c r="I2" s="18" t="s">
        <v>8</v>
      </c>
      <c r="J2" s="4"/>
      <c r="K2" s="4"/>
      <c r="L2" s="4"/>
      <c r="M2" s="4"/>
      <c r="N2" s="4"/>
      <c r="O2" s="4"/>
      <c r="P2" s="4"/>
      <c r="Q2" s="4"/>
    </row>
    <row r="3" spans="1:17" ht="12.75" thickBot="1" x14ac:dyDescent="0.35">
      <c r="C3" s="13" t="s">
        <v>2</v>
      </c>
      <c r="D3" s="15" t="s">
        <v>50</v>
      </c>
      <c r="E3" s="15" t="s">
        <v>18</v>
      </c>
      <c r="F3" s="14">
        <v>23000</v>
      </c>
      <c r="H3" s="13">
        <v>1710</v>
      </c>
      <c r="I3" s="14">
        <v>1770</v>
      </c>
      <c r="J3" s="4"/>
      <c r="K3" s="4"/>
      <c r="L3" s="4"/>
      <c r="M3" s="4"/>
      <c r="N3" s="4"/>
      <c r="O3" s="4"/>
      <c r="P3" s="4"/>
      <c r="Q3" s="4"/>
    </row>
    <row r="4" spans="1:17" x14ac:dyDescent="0.3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3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ht="16.5" customHeight="1" x14ac:dyDescent="0.3">
      <c r="A7" s="19" t="s">
        <v>3</v>
      </c>
      <c r="B7" s="10" t="s">
        <v>20</v>
      </c>
      <c r="C7" s="10" t="s">
        <v>33</v>
      </c>
      <c r="D7" s="11" t="s">
        <v>0</v>
      </c>
      <c r="E7" s="11" t="s">
        <v>1</v>
      </c>
      <c r="F7" s="11" t="s">
        <v>30</v>
      </c>
      <c r="G7" s="11" t="s">
        <v>25</v>
      </c>
      <c r="H7" s="11" t="s">
        <v>35</v>
      </c>
      <c r="I7" s="11" t="s">
        <v>29</v>
      </c>
      <c r="J7" s="11" t="s">
        <v>26</v>
      </c>
      <c r="K7" s="11" t="s">
        <v>36</v>
      </c>
      <c r="L7" s="11" t="s">
        <v>37</v>
      </c>
      <c r="M7" s="11" t="s">
        <v>42</v>
      </c>
      <c r="N7" s="11" t="s">
        <v>21</v>
      </c>
      <c r="O7" s="11" t="s">
        <v>22</v>
      </c>
      <c r="P7" s="11" t="s">
        <v>32</v>
      </c>
      <c r="Q7" s="11" t="s">
        <v>23</v>
      </c>
    </row>
    <row r="8" spans="1:17" x14ac:dyDescent="0.3">
      <c r="A8" s="19"/>
      <c r="B8" s="5" t="s">
        <v>12</v>
      </c>
      <c r="C8" s="5"/>
      <c r="D8" s="5" t="str">
        <f t="shared" ref="D8:D15" si="0">$C$3</f>
        <v>부산</v>
      </c>
      <c r="E8" s="5" t="str">
        <f t="shared" ref="E8:E15" si="1">$D$3</f>
        <v>천진</v>
      </c>
      <c r="F8" s="5" t="str">
        <f t="shared" ref="F8:F15" si="2">$E$3</f>
        <v>BISHKEK</v>
      </c>
      <c r="G8" s="5">
        <f t="array" ref="G8">IFERROR(INDEX(해상운임!$C$2:$C$100, MATCH(1,(해상운임!$A$2:$A$100=원가산출!D8)*(해상운임!$B$2:$B$100=원가산출!E8),0)),0)</f>
        <v>420</v>
      </c>
      <c r="H8" s="5">
        <v>70</v>
      </c>
      <c r="I8" s="5">
        <f>INDEX(포트국경운임!$B$2:$E$5,MATCH(원가산출!B8,포트국경운임!$A$2:$A$5,0),MATCH(원가산출!E8,포트국경운임!$B$1:$E$1,0))</f>
        <v>1</v>
      </c>
      <c r="J8" s="5">
        <f>INDEX(국경목적지운임!$B$2:$E$5,MATCH(원가산출!B8,국경목적지운임!$A$2:$A$5,0),MATCH(원가산출!F8,국경목적지운임!$B$1:$Z$1,0))</f>
        <v>2000</v>
      </c>
      <c r="K8" s="5">
        <f>IF($F$3&gt;=20000,300, IF($F$3&gt;=17000, 100, 0))</f>
        <v>300</v>
      </c>
      <c r="L8" s="5"/>
      <c r="M8" s="5">
        <f>$H$3</f>
        <v>1710</v>
      </c>
      <c r="N8" s="5">
        <v>100</v>
      </c>
      <c r="O8" s="5">
        <f>SUM(G8:N8)</f>
        <v>4601</v>
      </c>
      <c r="P8" s="5">
        <v>1000</v>
      </c>
      <c r="Q8" s="5">
        <f>P8-O8</f>
        <v>-3601</v>
      </c>
    </row>
    <row r="9" spans="1:17" x14ac:dyDescent="0.3">
      <c r="A9" s="19"/>
      <c r="B9" s="5" t="s">
        <v>13</v>
      </c>
      <c r="C9" s="5"/>
      <c r="D9" s="5" t="str">
        <f t="shared" si="0"/>
        <v>부산</v>
      </c>
      <c r="E9" s="5" t="str">
        <f t="shared" si="1"/>
        <v>천진</v>
      </c>
      <c r="F9" s="5" t="str">
        <f t="shared" si="2"/>
        <v>BISHKEK</v>
      </c>
      <c r="G9" s="5">
        <f t="array" ref="G9">IFERROR(INDEX(해상운임!$C$2:$C$100, MATCH(1,(해상운임!$A$2:$A$100=원가산출!D9)*(해상운임!$B$2:$B$100=원가산출!E9),0)),0)</f>
        <v>420</v>
      </c>
      <c r="H9" s="5">
        <v>65</v>
      </c>
      <c r="I9" s="5">
        <f>INDEX(포트국경운임!$B$2:$E$5,MATCH(원가산출!B9,포트국경운임!$A$2:$A$5,0),MATCH(원가산출!E9,포트국경운임!$B$1:$E$1,0))</f>
        <v>2</v>
      </c>
      <c r="J9" s="5">
        <f>INDEX(국경목적지운임!$B$2:$E$5,MATCH(원가산출!B9,국경목적지운임!$A$2:$A$5,0),MATCH(원가산출!F9,국경목적지운임!$B$1:$Z$1,0))</f>
        <v>2050</v>
      </c>
      <c r="K9" s="5">
        <f>IF($F$3&gt;=50000,300, IF($F$3&gt;=22000, 100, 0))</f>
        <v>100</v>
      </c>
      <c r="L9" s="5"/>
      <c r="M9" s="5">
        <f t="shared" ref="M9:M15" si="3">$H$3</f>
        <v>1710</v>
      </c>
      <c r="N9" s="5">
        <v>100</v>
      </c>
      <c r="O9" s="5">
        <f t="shared" ref="O9:O15" si="4">SUM(G9:N9)</f>
        <v>4447</v>
      </c>
      <c r="P9" s="5">
        <v>1000</v>
      </c>
      <c r="Q9" s="5">
        <f t="shared" ref="Q9:Q11" si="5">P9-O9</f>
        <v>-3447</v>
      </c>
    </row>
    <row r="10" spans="1:17" x14ac:dyDescent="0.3">
      <c r="A10" s="19"/>
      <c r="B10" s="5" t="s">
        <v>14</v>
      </c>
      <c r="C10" s="5"/>
      <c r="D10" s="5" t="str">
        <f t="shared" si="0"/>
        <v>부산</v>
      </c>
      <c r="E10" s="5" t="str">
        <f t="shared" si="1"/>
        <v>천진</v>
      </c>
      <c r="F10" s="5" t="str">
        <f t="shared" si="2"/>
        <v>BISHKEK</v>
      </c>
      <c r="G10" s="5">
        <f t="array" ref="G10">IFERROR(INDEX(해상운임!$C$2:$C$100, MATCH(1,(해상운임!$A$2:$A$100=원가산출!D10)*(해상운임!$B$2:$B$100=원가산출!E10),0)),0)</f>
        <v>420</v>
      </c>
      <c r="H10" s="5">
        <v>50</v>
      </c>
      <c r="I10" s="5">
        <f>INDEX(포트국경운임!$B$2:$E$5,MATCH(원가산출!B10,포트국경운임!$A$2:$A$5,0),MATCH(원가산출!E10,포트국경운임!$B$1:$E$1,0))</f>
        <v>3</v>
      </c>
      <c r="J10" s="5">
        <f>INDEX(국경목적지운임!$B$2:$E$5,MATCH(원가산출!B10,국경목적지운임!$A$2:$A$5,0),MATCH(원가산출!F10,국경목적지운임!$B$1:$Z$1,0))</f>
        <v>2080</v>
      </c>
      <c r="K10" s="5">
        <f>IF($F$3&gt;=20000,300, IF($F$3&gt;=17000, 100, 0))</f>
        <v>300</v>
      </c>
      <c r="L10" s="5"/>
      <c r="M10" s="5">
        <f t="shared" si="3"/>
        <v>1710</v>
      </c>
      <c r="N10" s="5">
        <v>100</v>
      </c>
      <c r="O10" s="5">
        <f t="shared" si="4"/>
        <v>4663</v>
      </c>
      <c r="P10" s="5">
        <v>1000</v>
      </c>
      <c r="Q10" s="5">
        <f t="shared" si="5"/>
        <v>-3663</v>
      </c>
    </row>
    <row r="11" spans="1:17" x14ac:dyDescent="0.3">
      <c r="A11" s="19"/>
      <c r="B11" s="5" t="s">
        <v>24</v>
      </c>
      <c r="C11" s="5"/>
      <c r="D11" s="5" t="str">
        <f t="shared" si="0"/>
        <v>부산</v>
      </c>
      <c r="E11" s="5" t="str">
        <f t="shared" si="1"/>
        <v>천진</v>
      </c>
      <c r="F11" s="5" t="str">
        <f t="shared" si="2"/>
        <v>BISHKEK</v>
      </c>
      <c r="G11" s="5">
        <f t="array" ref="G11">IFERROR(INDEX(해상운임!$C$2:$C$100, MATCH(1,(해상운임!$A$2:$A$100=원가산출!D11)*(해상운임!$B$2:$B$100=원가산출!E11),0)),0)</f>
        <v>420</v>
      </c>
      <c r="H11" s="5"/>
      <c r="I11" s="5">
        <f>INDEX(포트국경운임!$B$2:$E$5,MATCH(원가산출!B11,포트국경운임!$A$2:$A$5,0),MATCH(원가산출!E11,포트국경운임!$B$1:$E$1,0))</f>
        <v>4</v>
      </c>
      <c r="J11" s="5">
        <f>INDEX(국경목적지운임!$B$2:$E$5,MATCH(원가산출!B11,국경목적지운임!$A$2:$A$5,0),MATCH(원가산출!F11,국경목적지운임!$B$1:$Z$1,0))</f>
        <v>1950</v>
      </c>
      <c r="K11" s="5">
        <f>IF($F$3&gt;=20000,300, IF($F$3&gt;=17000, 100, 0))</f>
        <v>300</v>
      </c>
      <c r="L11" s="5"/>
      <c r="M11" s="5">
        <f t="shared" si="3"/>
        <v>1710</v>
      </c>
      <c r="N11" s="5">
        <v>100</v>
      </c>
      <c r="O11" s="5">
        <f t="shared" si="4"/>
        <v>4484</v>
      </c>
      <c r="P11" s="5">
        <v>1000</v>
      </c>
      <c r="Q11" s="5">
        <f t="shared" si="5"/>
        <v>-3484</v>
      </c>
    </row>
    <row r="12" spans="1:17" x14ac:dyDescent="0.3">
      <c r="A12" s="19"/>
      <c r="B12" s="5" t="s">
        <v>12</v>
      </c>
      <c r="C12" s="5" t="s">
        <v>34</v>
      </c>
      <c r="D12" s="5" t="str">
        <f t="shared" si="0"/>
        <v>부산</v>
      </c>
      <c r="E12" s="5" t="str">
        <f t="shared" si="1"/>
        <v>천진</v>
      </c>
      <c r="F12" s="5" t="str">
        <f t="shared" si="2"/>
        <v>BISHKEK</v>
      </c>
      <c r="G12" s="5">
        <f t="array" ref="G12">IFERROR(INDEX(해상운임!$C$2:$C$100, MATCH(1,(해상운임!$A$2:$A$100=원가산출!D12)*(해상운임!$B$2:$B$100=원가산출!E12),0)),0)</f>
        <v>420</v>
      </c>
      <c r="H12" s="5">
        <v>70</v>
      </c>
      <c r="I12" s="5">
        <f>INDEX(포트국경운임!$B$2:$E$5,MATCH(원가산출!B12,포트국경운임!$A$2:$A$5,0),MATCH(원가산출!E12,포트국경운임!$B$1:$E$1,0))</f>
        <v>1</v>
      </c>
      <c r="J12" s="5">
        <f>IFERROR(INDEX(국경목적지운임!$B$2:$E$6,MATCH(원가산출!C12,국경목적지운임!$A$2:$A$6,0),MATCH(원가산출!F12,국경목적지운임!$B$1:$Z$1,0)),0)</f>
        <v>1850</v>
      </c>
      <c r="K12" s="5">
        <f>IF($F$3&gt;=21000,300, IF($F$3&gt;=17000, 100, 0))</f>
        <v>300</v>
      </c>
      <c r="L12" s="5"/>
      <c r="M12" s="5">
        <f t="shared" si="3"/>
        <v>1710</v>
      </c>
      <c r="N12" s="5">
        <v>100</v>
      </c>
      <c r="O12" s="5">
        <f t="shared" si="4"/>
        <v>4451</v>
      </c>
      <c r="P12" s="5">
        <v>1000</v>
      </c>
      <c r="Q12" s="5">
        <f>P12-O12</f>
        <v>-3451</v>
      </c>
    </row>
    <row r="13" spans="1:17" x14ac:dyDescent="0.3">
      <c r="A13" s="19"/>
      <c r="B13" s="5" t="s">
        <v>13</v>
      </c>
      <c r="C13" s="5" t="s">
        <v>34</v>
      </c>
      <c r="D13" s="5" t="str">
        <f t="shared" si="0"/>
        <v>부산</v>
      </c>
      <c r="E13" s="5" t="str">
        <f t="shared" si="1"/>
        <v>천진</v>
      </c>
      <c r="F13" s="5" t="str">
        <f t="shared" si="2"/>
        <v>BISHKEK</v>
      </c>
      <c r="G13" s="5">
        <f t="array" ref="G13">IFERROR(INDEX(해상운임!$C$2:$C$100, MATCH(1,(해상운임!$A$2:$A$100=원가산출!D13)*(해상운임!$B$2:$B$100=원가산출!E13),0)),0)</f>
        <v>420</v>
      </c>
      <c r="H13" s="5">
        <v>65</v>
      </c>
      <c r="I13" s="5">
        <f>INDEX(포트국경운임!$B$2:$E$5,MATCH(원가산출!B13,포트국경운임!$A$2:$A$5,0),MATCH(원가산출!E13,포트국경운임!$B$1:$E$1,0))</f>
        <v>2</v>
      </c>
      <c r="J13" s="5">
        <f>IFERROR(INDEX(국경목적지운임!B2:E6,MATCH(원가산출!C13,국경목적지운임!$A$2:$A$6,0),MATCH(원가산출!F13,국경목적지운임!$B$1:$Z$1,0)),0)</f>
        <v>1850</v>
      </c>
      <c r="K13" s="5">
        <f t="shared" ref="K13:K15" si="6">IF($F$3&gt;=21000,300, IF($F$3&gt;=17000, 100, 0))</f>
        <v>300</v>
      </c>
      <c r="L13" s="5"/>
      <c r="M13" s="5">
        <f t="shared" si="3"/>
        <v>1710</v>
      </c>
      <c r="N13" s="5">
        <v>100</v>
      </c>
      <c r="O13" s="5">
        <f t="shared" si="4"/>
        <v>4447</v>
      </c>
      <c r="P13" s="5">
        <v>1000</v>
      </c>
      <c r="Q13" s="5">
        <f t="shared" ref="Q13:Q15" si="7">P13-O13</f>
        <v>-3447</v>
      </c>
    </row>
    <row r="14" spans="1:17" x14ac:dyDescent="0.3">
      <c r="A14" s="19"/>
      <c r="B14" s="5" t="s">
        <v>14</v>
      </c>
      <c r="C14" s="5" t="s">
        <v>34</v>
      </c>
      <c r="D14" s="5" t="str">
        <f t="shared" si="0"/>
        <v>부산</v>
      </c>
      <c r="E14" s="5" t="str">
        <f t="shared" si="1"/>
        <v>천진</v>
      </c>
      <c r="F14" s="5" t="str">
        <f t="shared" si="2"/>
        <v>BISHKEK</v>
      </c>
      <c r="G14" s="5">
        <f t="array" ref="G14">IFERROR(INDEX(해상운임!$C$2:$C$100, MATCH(1,(해상운임!$A$2:$A$100=원가산출!D14)*(해상운임!$B$2:$B$100=원가산출!E14),0)),0)</f>
        <v>420</v>
      </c>
      <c r="H14" s="5">
        <v>50</v>
      </c>
      <c r="I14" s="5">
        <f>INDEX(포트국경운임!$B$2:$E$5,MATCH(원가산출!B14,포트국경운임!$A$2:$A$5,0),MATCH(원가산출!E14,포트국경운임!$B$1:$E$1,0))</f>
        <v>3</v>
      </c>
      <c r="J14" s="5">
        <f>IFERROR(INDEX(국경목적지운임!B2:E6,MATCH(원가산출!C14,국경목적지운임!$A$2:$A$6,0),MATCH(원가산출!F14,국경목적지운임!$B$1:$Z$1,0)),0)</f>
        <v>1850</v>
      </c>
      <c r="K14" s="5">
        <f t="shared" si="6"/>
        <v>300</v>
      </c>
      <c r="L14" s="5"/>
      <c r="M14" s="5">
        <f t="shared" si="3"/>
        <v>1710</v>
      </c>
      <c r="N14" s="5">
        <v>100</v>
      </c>
      <c r="O14" s="5">
        <f t="shared" si="4"/>
        <v>4433</v>
      </c>
      <c r="P14" s="5">
        <v>1000</v>
      </c>
      <c r="Q14" s="5">
        <f t="shared" si="7"/>
        <v>-3433</v>
      </c>
    </row>
    <row r="15" spans="1:17" x14ac:dyDescent="0.3">
      <c r="A15" s="19"/>
      <c r="B15" s="5" t="s">
        <v>24</v>
      </c>
      <c r="C15" s="5" t="s">
        <v>34</v>
      </c>
      <c r="D15" s="5" t="str">
        <f t="shared" si="0"/>
        <v>부산</v>
      </c>
      <c r="E15" s="5" t="str">
        <f t="shared" si="1"/>
        <v>천진</v>
      </c>
      <c r="F15" s="5" t="str">
        <f t="shared" si="2"/>
        <v>BISHKEK</v>
      </c>
      <c r="G15" s="5">
        <f t="array" ref="G15">IFERROR(INDEX(해상운임!$C$2:$C$100, MATCH(1,(해상운임!$A$2:$A$100=원가산출!D15)*(해상운임!$B$2:$B$100=원가산출!E15),0)),0)</f>
        <v>420</v>
      </c>
      <c r="H15" s="5"/>
      <c r="I15" s="5">
        <f>INDEX(포트국경운임!$B$2:$E$5,MATCH(원가산출!B15,포트국경운임!$A$2:$A$5,0),MATCH(원가산출!E15,포트국경운임!$B$1:$E$1,0))</f>
        <v>4</v>
      </c>
      <c r="J15" s="5">
        <f>IFERROR(INDEX(국경목적지운임!B2:E6,MATCH(원가산출!C15,국경목적지운임!$A$2:$A$6,0),MATCH(원가산출!F15,국경목적지운임!$B$1:$Z$1,0)),0)</f>
        <v>1850</v>
      </c>
      <c r="K15" s="5">
        <f t="shared" si="6"/>
        <v>300</v>
      </c>
      <c r="L15" s="5"/>
      <c r="M15" s="5">
        <f t="shared" si="3"/>
        <v>1710</v>
      </c>
      <c r="N15" s="5">
        <v>100</v>
      </c>
      <c r="O15" s="5">
        <f t="shared" si="4"/>
        <v>4384</v>
      </c>
      <c r="P15" s="5">
        <v>1000</v>
      </c>
      <c r="Q15" s="5">
        <f t="shared" si="7"/>
        <v>-3384</v>
      </c>
    </row>
    <row r="16" spans="1:17" x14ac:dyDescent="0.3">
      <c r="A16" s="19"/>
    </row>
    <row r="17" spans="1:17" x14ac:dyDescent="0.3">
      <c r="A17" s="19"/>
      <c r="B17" s="11" t="s">
        <v>20</v>
      </c>
      <c r="C17" s="11" t="s">
        <v>39</v>
      </c>
      <c r="D17" s="11" t="s">
        <v>0</v>
      </c>
      <c r="E17" s="11" t="s">
        <v>1</v>
      </c>
      <c r="F17" s="11" t="s">
        <v>30</v>
      </c>
      <c r="G17" s="11" t="s">
        <v>25</v>
      </c>
      <c r="H17" s="11" t="s">
        <v>35</v>
      </c>
      <c r="I17" s="11" t="s">
        <v>29</v>
      </c>
      <c r="J17" s="11" t="s">
        <v>26</v>
      </c>
      <c r="K17" s="11" t="s">
        <v>36</v>
      </c>
      <c r="L17" s="11" t="s">
        <v>37</v>
      </c>
      <c r="M17" s="11" t="s">
        <v>21</v>
      </c>
      <c r="N17" s="11" t="s">
        <v>22</v>
      </c>
      <c r="O17" s="11" t="s">
        <v>32</v>
      </c>
      <c r="P17" s="11" t="s">
        <v>23</v>
      </c>
    </row>
    <row r="18" spans="1:17" x14ac:dyDescent="0.3">
      <c r="A18" s="19"/>
      <c r="B18" s="5" t="s">
        <v>45</v>
      </c>
      <c r="C18" s="5" t="s">
        <v>38</v>
      </c>
      <c r="D18" s="5" t="str">
        <f>$C$3</f>
        <v>부산</v>
      </c>
      <c r="E18" s="5" t="str">
        <f>$D$3</f>
        <v>천진</v>
      </c>
      <c r="F18" s="5" t="str">
        <f>$E$3</f>
        <v>BISHKEK</v>
      </c>
      <c r="G18" s="3"/>
      <c r="H18" s="3"/>
      <c r="I18" s="3"/>
      <c r="J18" s="3"/>
      <c r="K18" s="3"/>
      <c r="L18" s="3"/>
      <c r="M18" s="3"/>
      <c r="N18" s="5">
        <f>SUM(F18:M18)</f>
        <v>0</v>
      </c>
      <c r="O18" s="5">
        <v>1000</v>
      </c>
      <c r="P18" s="5">
        <f>O18-N18</f>
        <v>1000</v>
      </c>
    </row>
    <row r="19" spans="1:17" x14ac:dyDescent="0.3">
      <c r="A19" s="19"/>
      <c r="B19" s="5" t="s">
        <v>44</v>
      </c>
      <c r="C19" s="5" t="s">
        <v>38</v>
      </c>
      <c r="D19" s="5" t="str">
        <f>$C$3</f>
        <v>부산</v>
      </c>
      <c r="E19" s="5" t="str">
        <f>$D$3</f>
        <v>천진</v>
      </c>
      <c r="F19" s="5" t="str">
        <f>$E$3</f>
        <v>BISHKEK</v>
      </c>
      <c r="G19" s="3"/>
      <c r="H19" s="3"/>
      <c r="I19" s="3"/>
      <c r="J19" s="3"/>
      <c r="K19" s="3"/>
      <c r="L19" s="3"/>
      <c r="M19" s="3"/>
      <c r="N19" s="5">
        <f>SUM(F19:M19)</f>
        <v>0</v>
      </c>
      <c r="O19" s="5">
        <v>1000</v>
      </c>
      <c r="P19" s="5">
        <f>O19-N19</f>
        <v>1000</v>
      </c>
    </row>
    <row r="20" spans="1:17" ht="12.75" thickBot="1" x14ac:dyDescent="0.35"/>
    <row r="21" spans="1:17" x14ac:dyDescent="0.3">
      <c r="C21" s="16" t="s">
        <v>0</v>
      </c>
      <c r="D21" s="17" t="s">
        <v>1</v>
      </c>
      <c r="E21" s="17" t="s">
        <v>30</v>
      </c>
      <c r="F21" s="18" t="s">
        <v>27</v>
      </c>
    </row>
    <row r="22" spans="1:17" ht="12.75" thickBot="1" x14ac:dyDescent="0.35">
      <c r="C22" s="13" t="s">
        <v>7</v>
      </c>
      <c r="D22" s="15" t="s">
        <v>9</v>
      </c>
      <c r="E22" s="15" t="s">
        <v>18</v>
      </c>
      <c r="F22" s="14">
        <v>3200</v>
      </c>
    </row>
    <row r="25" spans="1:17" x14ac:dyDescent="0.3">
      <c r="A25" s="19" t="s">
        <v>8</v>
      </c>
      <c r="B25" s="10" t="s">
        <v>20</v>
      </c>
      <c r="C25" s="10" t="s">
        <v>33</v>
      </c>
      <c r="D25" s="11" t="s">
        <v>0</v>
      </c>
      <c r="E25" s="11" t="s">
        <v>1</v>
      </c>
      <c r="F25" s="11" t="s">
        <v>30</v>
      </c>
      <c r="G25" s="11" t="s">
        <v>25</v>
      </c>
      <c r="H25" s="11" t="s">
        <v>35</v>
      </c>
      <c r="I25" s="11" t="s">
        <v>29</v>
      </c>
      <c r="J25" s="11" t="s">
        <v>26</v>
      </c>
      <c r="K25" s="11" t="s">
        <v>36</v>
      </c>
      <c r="L25" s="11" t="s">
        <v>37</v>
      </c>
      <c r="M25" s="11" t="s">
        <v>42</v>
      </c>
      <c r="N25" s="11" t="s">
        <v>21</v>
      </c>
      <c r="O25" s="11" t="s">
        <v>22</v>
      </c>
      <c r="P25" s="11" t="s">
        <v>32</v>
      </c>
      <c r="Q25" s="11" t="s">
        <v>23</v>
      </c>
    </row>
    <row r="26" spans="1:17" x14ac:dyDescent="0.3">
      <c r="A26" s="19"/>
      <c r="B26" s="5" t="s">
        <v>12</v>
      </c>
      <c r="C26" s="5"/>
      <c r="D26" s="5" t="str">
        <f>$C$22</f>
        <v>인천</v>
      </c>
      <c r="E26" s="5" t="str">
        <f>$D$22</f>
        <v>다강</v>
      </c>
      <c r="F26" s="5" t="str">
        <f>$E$22</f>
        <v>BISHKEK</v>
      </c>
      <c r="G26" s="5">
        <f t="array" ref="G26">IFERROR(INDEX(해상운임!$C$2:$C$100, MATCH(1,(해상운임!$A$2:$A$100=원가산출!D26)*(해상운임!$B$2:$B$100=원가산출!E26),0)),0)</f>
        <v>200</v>
      </c>
      <c r="H26" s="5">
        <v>70</v>
      </c>
      <c r="I26" s="5">
        <f>INDEX(포트국경운임!$B$2:$E$5,MATCH(원가산출!B26,포트국경운임!$A$2:$A$5,0),MATCH(원가산출!E26,포트국경운임!$B$1:$E$1,0))</f>
        <v>1</v>
      </c>
      <c r="J26" s="5">
        <f>INDEX(국경목적지운임!$B$2:$E$5,MATCH(원가산출!B26,국경목적지운임!$A$2:$A$5,0),MATCH(원가산출!F26,국경목적지운임!$B$1:$Z$1,0))</f>
        <v>2000</v>
      </c>
      <c r="K26" s="5">
        <f>IF($F$22&gt;=20000,300, IF($F$22&gt;=17000, 100, 0))</f>
        <v>0</v>
      </c>
      <c r="L26" s="5"/>
      <c r="M26" s="5">
        <f>$I$3</f>
        <v>1770</v>
      </c>
      <c r="N26" s="5">
        <v>100</v>
      </c>
      <c r="O26" s="5">
        <f>SUM(G26:N26)</f>
        <v>4141</v>
      </c>
      <c r="P26" s="5">
        <v>1000</v>
      </c>
      <c r="Q26" s="5">
        <f>P26-O26</f>
        <v>-3141</v>
      </c>
    </row>
    <row r="27" spans="1:17" x14ac:dyDescent="0.3">
      <c r="A27" s="19"/>
      <c r="B27" s="5" t="s">
        <v>13</v>
      </c>
      <c r="C27" s="5"/>
      <c r="D27" s="5" t="str">
        <f t="shared" ref="D27:D33" si="8">$C$22</f>
        <v>인천</v>
      </c>
      <c r="E27" s="5" t="str">
        <f t="shared" ref="E27:E33" si="9">$D$22</f>
        <v>다강</v>
      </c>
      <c r="F27" s="5" t="str">
        <f t="shared" ref="F27:F33" si="10">$E$22</f>
        <v>BISHKEK</v>
      </c>
      <c r="G27" s="5">
        <f t="array" ref="G27">IFERROR(INDEX(해상운임!$C$2:$C$100, MATCH(1,(해상운임!$A$2:$A$100=원가산출!D27)*(해상운임!$B$2:$B$100=원가산출!E27),0)),0)</f>
        <v>200</v>
      </c>
      <c r="H27" s="5">
        <v>65</v>
      </c>
      <c r="I27" s="5">
        <f>INDEX(포트국경운임!$B$2:$E$5,MATCH(원가산출!B27,포트국경운임!$A$2:$A$5,0),MATCH(원가산출!E27,포트국경운임!$B$1:$E$1,0))</f>
        <v>2</v>
      </c>
      <c r="J27" s="5">
        <f>INDEX(국경목적지운임!$B$2:$E$5,MATCH(원가산출!B27,국경목적지운임!$A$2:$A$5,0),MATCH(원가산출!F27,국경목적지운임!$B$1:$Z$1,0))</f>
        <v>2050</v>
      </c>
      <c r="K27" s="5">
        <f t="shared" ref="K27:K33" si="11">IF($F$22&gt;=20000,300, IF($F$22&gt;=17000, 100, 0))</f>
        <v>0</v>
      </c>
      <c r="L27" s="5"/>
      <c r="M27" s="5">
        <f t="shared" ref="M27:M32" si="12">$I$3</f>
        <v>1770</v>
      </c>
      <c r="N27" s="5">
        <v>100</v>
      </c>
      <c r="O27" s="5">
        <f t="shared" ref="O27:O33" si="13">SUM(G27:N27)</f>
        <v>4187</v>
      </c>
      <c r="P27" s="5">
        <v>1000</v>
      </c>
      <c r="Q27" s="5">
        <f t="shared" ref="Q27:Q29" si="14">P27-O27</f>
        <v>-3187</v>
      </c>
    </row>
    <row r="28" spans="1:17" x14ac:dyDescent="0.3">
      <c r="A28" s="19"/>
      <c r="B28" s="5" t="s">
        <v>14</v>
      </c>
      <c r="C28" s="5"/>
      <c r="D28" s="5" t="str">
        <f t="shared" si="8"/>
        <v>인천</v>
      </c>
      <c r="E28" s="5" t="str">
        <f t="shared" si="9"/>
        <v>다강</v>
      </c>
      <c r="F28" s="5" t="str">
        <f t="shared" si="10"/>
        <v>BISHKEK</v>
      </c>
      <c r="G28" s="5">
        <f t="array" ref="G28">IFERROR(INDEX(해상운임!$C$2:$C$100, MATCH(1,(해상운임!$A$2:$A$100=원가산출!D28)*(해상운임!$B$2:$B$100=원가산출!E28),0)),0)</f>
        <v>200</v>
      </c>
      <c r="H28" s="5">
        <v>50</v>
      </c>
      <c r="I28" s="5">
        <f>INDEX(포트국경운임!$B$2:$E$5,MATCH(원가산출!B28,포트국경운임!$A$2:$A$5,0),MATCH(원가산출!E28,포트국경운임!$B$1:$E$1,0))</f>
        <v>3</v>
      </c>
      <c r="J28" s="5">
        <f>INDEX(국경목적지운임!$B$2:$E$5,MATCH(원가산출!B28,국경목적지운임!$A$2:$A$5,0),MATCH(원가산출!F28,국경목적지운임!$B$1:$Z$1,0))</f>
        <v>2080</v>
      </c>
      <c r="K28" s="5">
        <f t="shared" si="11"/>
        <v>0</v>
      </c>
      <c r="L28" s="5"/>
      <c r="M28" s="5">
        <f t="shared" si="12"/>
        <v>1770</v>
      </c>
      <c r="N28" s="5">
        <v>100</v>
      </c>
      <c r="O28" s="5">
        <f t="shared" si="13"/>
        <v>4203</v>
      </c>
      <c r="P28" s="5">
        <v>1000</v>
      </c>
      <c r="Q28" s="5">
        <f t="shared" si="14"/>
        <v>-3203</v>
      </c>
    </row>
    <row r="29" spans="1:17" x14ac:dyDescent="0.3">
      <c r="A29" s="19"/>
      <c r="B29" s="5" t="s">
        <v>24</v>
      </c>
      <c r="C29" s="5"/>
      <c r="D29" s="5" t="str">
        <f t="shared" si="8"/>
        <v>인천</v>
      </c>
      <c r="E29" s="5" t="str">
        <f t="shared" si="9"/>
        <v>다강</v>
      </c>
      <c r="F29" s="5" t="str">
        <f t="shared" si="10"/>
        <v>BISHKEK</v>
      </c>
      <c r="G29" s="5">
        <f t="array" ref="G29">IFERROR(INDEX(해상운임!$C$2:$C$100, MATCH(1,(해상운임!$A$2:$A$100=원가산출!D29)*(해상운임!$B$2:$B$100=원가산출!E29),0)),0)</f>
        <v>200</v>
      </c>
      <c r="H29" s="5"/>
      <c r="I29" s="5">
        <f>INDEX(포트국경운임!$B$2:$E$5,MATCH(원가산출!B29,포트국경운임!$A$2:$A$5,0),MATCH(원가산출!E29,포트국경운임!$B$1:$E$1,0))</f>
        <v>4</v>
      </c>
      <c r="J29" s="5">
        <f>INDEX(국경목적지운임!$B$2:$E$5,MATCH(원가산출!B29,국경목적지운임!$A$2:$A$5,0),MATCH(원가산출!F29,국경목적지운임!$B$1:$Z$1,0))</f>
        <v>1950</v>
      </c>
      <c r="K29" s="5">
        <f t="shared" si="11"/>
        <v>0</v>
      </c>
      <c r="L29" s="5"/>
      <c r="M29" s="5">
        <f t="shared" si="12"/>
        <v>1770</v>
      </c>
      <c r="N29" s="5">
        <v>100</v>
      </c>
      <c r="O29" s="5">
        <f t="shared" si="13"/>
        <v>4024</v>
      </c>
      <c r="P29" s="5">
        <v>1000</v>
      </c>
      <c r="Q29" s="5">
        <f t="shared" si="14"/>
        <v>-3024</v>
      </c>
    </row>
    <row r="30" spans="1:17" x14ac:dyDescent="0.3">
      <c r="A30" s="19"/>
      <c r="B30" s="5" t="s">
        <v>12</v>
      </c>
      <c r="C30" s="5" t="s">
        <v>34</v>
      </c>
      <c r="D30" s="5" t="str">
        <f t="shared" si="8"/>
        <v>인천</v>
      </c>
      <c r="E30" s="5" t="str">
        <f t="shared" si="9"/>
        <v>다강</v>
      </c>
      <c r="F30" s="5" t="str">
        <f t="shared" si="10"/>
        <v>BISHKEK</v>
      </c>
      <c r="G30" s="5">
        <f t="array" ref="G30">IFERROR(INDEX(해상운임!$C$2:$C$100, MATCH(1,(해상운임!$A$2:$A$100=원가산출!D30)*(해상운임!$B$2:$B$100=원가산출!E30),0)),0)</f>
        <v>200</v>
      </c>
      <c r="H30" s="5">
        <v>70</v>
      </c>
      <c r="I30" s="5">
        <f>INDEX(포트국경운임!$B$2:$E$5,MATCH(원가산출!B30,포트국경운임!$A$2:$A$5,0),MATCH(원가산출!E30,포트국경운임!$B$1:$E$1,0))</f>
        <v>1</v>
      </c>
      <c r="J30" s="5">
        <f>IFERROR(INDEX(국경목적지운임!$B$2:$E$6,MATCH(원가산출!C30,국경목적지운임!$A$2:$A$6,0),MATCH(원가산출!F30,국경목적지운임!$B$1:$Z$1,0)),0)</f>
        <v>1850</v>
      </c>
      <c r="K30" s="5">
        <f t="shared" si="11"/>
        <v>0</v>
      </c>
      <c r="L30" s="5"/>
      <c r="M30" s="5">
        <f t="shared" si="12"/>
        <v>1770</v>
      </c>
      <c r="N30" s="5">
        <v>100</v>
      </c>
      <c r="O30" s="5">
        <f t="shared" si="13"/>
        <v>3991</v>
      </c>
      <c r="P30" s="5">
        <v>1000</v>
      </c>
      <c r="Q30" s="5">
        <f>P30-O30</f>
        <v>-2991</v>
      </c>
    </row>
    <row r="31" spans="1:17" x14ac:dyDescent="0.3">
      <c r="A31" s="19"/>
      <c r="B31" s="5" t="s">
        <v>13</v>
      </c>
      <c r="C31" s="5" t="s">
        <v>34</v>
      </c>
      <c r="D31" s="5" t="str">
        <f t="shared" si="8"/>
        <v>인천</v>
      </c>
      <c r="E31" s="5" t="str">
        <f t="shared" si="9"/>
        <v>다강</v>
      </c>
      <c r="F31" s="5" t="str">
        <f t="shared" si="10"/>
        <v>BISHKEK</v>
      </c>
      <c r="G31" s="5">
        <f t="array" ref="G31">IFERROR(INDEX(해상운임!$C$2:$C$100, MATCH(1,(해상운임!$A$2:$A$100=원가산출!D31)*(해상운임!$B$2:$B$100=원가산출!E31),0)),0)</f>
        <v>200</v>
      </c>
      <c r="H31" s="5">
        <v>65</v>
      </c>
      <c r="I31" s="5">
        <f>INDEX(포트국경운임!$B$2:$E$5,MATCH(원가산출!B31,포트국경운임!$A$2:$A$5,0),MATCH(원가산출!E31,포트국경운임!$B$1:$E$1,0))</f>
        <v>2</v>
      </c>
      <c r="J31" s="5">
        <f>IFERROR(INDEX(국경목적지운임!$B$2:$E$6,MATCH(원가산출!C31,국경목적지운임!$A$2:$A$6,0),MATCH(원가산출!F31,국경목적지운임!$B$1:$Z$1,0)),0)</f>
        <v>1850</v>
      </c>
      <c r="K31" s="5">
        <f t="shared" si="11"/>
        <v>0</v>
      </c>
      <c r="L31" s="5"/>
      <c r="M31" s="5">
        <f t="shared" si="12"/>
        <v>1770</v>
      </c>
      <c r="N31" s="5">
        <v>100</v>
      </c>
      <c r="O31" s="5">
        <f t="shared" si="13"/>
        <v>3987</v>
      </c>
      <c r="P31" s="5">
        <v>1000</v>
      </c>
      <c r="Q31" s="5">
        <f t="shared" ref="Q31:Q33" si="15">P31-O31</f>
        <v>-2987</v>
      </c>
    </row>
    <row r="32" spans="1:17" x14ac:dyDescent="0.3">
      <c r="A32" s="19"/>
      <c r="B32" s="5" t="s">
        <v>14</v>
      </c>
      <c r="C32" s="5" t="s">
        <v>34</v>
      </c>
      <c r="D32" s="5" t="str">
        <f t="shared" si="8"/>
        <v>인천</v>
      </c>
      <c r="E32" s="5" t="str">
        <f t="shared" si="9"/>
        <v>다강</v>
      </c>
      <c r="F32" s="5" t="str">
        <f t="shared" si="10"/>
        <v>BISHKEK</v>
      </c>
      <c r="G32" s="5">
        <f t="array" ref="G32">IFERROR(INDEX(해상운임!$C$2:$C$100, MATCH(1,(해상운임!$A$2:$A$100=원가산출!D32)*(해상운임!$B$2:$B$100=원가산출!E32),0)),0)</f>
        <v>200</v>
      </c>
      <c r="H32" s="5">
        <v>50</v>
      </c>
      <c r="I32" s="5">
        <f>INDEX(포트국경운임!$B$2:$E$5,MATCH(원가산출!B32,포트국경운임!$A$2:$A$5,0),MATCH(원가산출!E32,포트국경운임!$B$1:$E$1,0))</f>
        <v>3</v>
      </c>
      <c r="J32" s="5">
        <f>IFERROR(INDEX(국경목적지운임!$B$2:$E$6,MATCH(원가산출!C32,국경목적지운임!$A$2:$A$6,0),MATCH(원가산출!F32,국경목적지운임!$B$1:$Z$1,0)),0)</f>
        <v>1850</v>
      </c>
      <c r="K32" s="5">
        <f t="shared" si="11"/>
        <v>0</v>
      </c>
      <c r="L32" s="5"/>
      <c r="M32" s="5">
        <f t="shared" si="12"/>
        <v>1770</v>
      </c>
      <c r="N32" s="5">
        <v>100</v>
      </c>
      <c r="O32" s="5">
        <f t="shared" si="13"/>
        <v>3973</v>
      </c>
      <c r="P32" s="5">
        <v>1000</v>
      </c>
      <c r="Q32" s="5">
        <f t="shared" si="15"/>
        <v>-2973</v>
      </c>
    </row>
    <row r="33" spans="1:17" x14ac:dyDescent="0.3">
      <c r="A33" s="19"/>
      <c r="B33" s="5" t="s">
        <v>24</v>
      </c>
      <c r="C33" s="5" t="s">
        <v>34</v>
      </c>
      <c r="D33" s="5" t="str">
        <f t="shared" si="8"/>
        <v>인천</v>
      </c>
      <c r="E33" s="5" t="str">
        <f t="shared" si="9"/>
        <v>다강</v>
      </c>
      <c r="F33" s="5" t="str">
        <f t="shared" si="10"/>
        <v>BISHKEK</v>
      </c>
      <c r="G33" s="5">
        <f t="array" ref="G33">IFERROR(INDEX(해상운임!$C$2:$C$100, MATCH(1,(해상운임!$A$2:$A$100=원가산출!D33)*(해상운임!$B$2:$B$100=원가산출!E33),0)),0)</f>
        <v>200</v>
      </c>
      <c r="H33" s="5"/>
      <c r="I33" s="5">
        <f>INDEX(포트국경운임!$B$2:$E$5,MATCH(원가산출!B33,포트국경운임!$A$2:$A$5,0),MATCH(원가산출!E33,포트국경운임!$B$1:$E$1,0))</f>
        <v>4</v>
      </c>
      <c r="J33" s="5">
        <f>IFERROR(INDEX(국경목적지운임!$B$2:$E$6,MATCH(원가산출!C33,국경목적지운임!$A$2:$A$6,0),MATCH(원가산출!F33,국경목적지운임!$B$1:$Z$1,0)),0)</f>
        <v>1850</v>
      </c>
      <c r="K33" s="5">
        <f t="shared" si="11"/>
        <v>0</v>
      </c>
      <c r="L33" s="5"/>
      <c r="M33" s="5">
        <f>IF(D33=$H$2,$H$3,$I$3)</f>
        <v>1770</v>
      </c>
      <c r="N33" s="5">
        <v>100</v>
      </c>
      <c r="O33" s="5">
        <f t="shared" si="13"/>
        <v>3924</v>
      </c>
      <c r="P33" s="5">
        <v>1000</v>
      </c>
      <c r="Q33" s="5">
        <f t="shared" si="15"/>
        <v>-2924</v>
      </c>
    </row>
    <row r="34" spans="1:17" x14ac:dyDescent="0.3">
      <c r="A34" s="19"/>
    </row>
    <row r="35" spans="1:17" x14ac:dyDescent="0.3">
      <c r="A35" s="19"/>
      <c r="B35" s="11" t="s">
        <v>20</v>
      </c>
      <c r="C35" s="11" t="s">
        <v>39</v>
      </c>
      <c r="D35" s="11" t="s">
        <v>0</v>
      </c>
      <c r="E35" s="11" t="s">
        <v>1</v>
      </c>
      <c r="F35" s="11" t="s">
        <v>30</v>
      </c>
      <c r="G35" s="11" t="s">
        <v>25</v>
      </c>
      <c r="H35" s="11" t="s">
        <v>35</v>
      </c>
      <c r="I35" s="11" t="s">
        <v>29</v>
      </c>
      <c r="J35" s="11" t="s">
        <v>26</v>
      </c>
      <c r="K35" s="11" t="s">
        <v>36</v>
      </c>
      <c r="L35" s="11" t="s">
        <v>37</v>
      </c>
      <c r="M35" s="11" t="s">
        <v>21</v>
      </c>
      <c r="N35" s="11" t="s">
        <v>22</v>
      </c>
      <c r="O35" s="11" t="s">
        <v>32</v>
      </c>
      <c r="P35" s="11" t="s">
        <v>23</v>
      </c>
    </row>
    <row r="36" spans="1:17" x14ac:dyDescent="0.3">
      <c r="A36" s="19"/>
      <c r="B36" s="5" t="s">
        <v>45</v>
      </c>
      <c r="C36" s="5" t="s">
        <v>38</v>
      </c>
      <c r="D36" s="5"/>
      <c r="E36" s="5" t="str">
        <f>$D$3</f>
        <v>천진</v>
      </c>
      <c r="F36" s="5" t="str">
        <f>$E$3</f>
        <v>BISHKEK</v>
      </c>
      <c r="G36" s="5"/>
      <c r="H36" s="3"/>
      <c r="I36" s="3"/>
      <c r="J36" s="3"/>
      <c r="K36" s="3"/>
      <c r="L36" s="3"/>
      <c r="M36" s="3"/>
      <c r="N36" s="5">
        <f>SUM(F36:M36)</f>
        <v>0</v>
      </c>
      <c r="O36" s="5">
        <v>1000</v>
      </c>
      <c r="P36" s="5">
        <f>O36-N36</f>
        <v>1000</v>
      </c>
    </row>
    <row r="37" spans="1:17" x14ac:dyDescent="0.3">
      <c r="A37" s="19"/>
      <c r="B37" s="5" t="s">
        <v>44</v>
      </c>
      <c r="C37" s="5" t="s">
        <v>38</v>
      </c>
      <c r="D37" s="5"/>
      <c r="E37" s="5" t="str">
        <f>$D$3</f>
        <v>천진</v>
      </c>
      <c r="F37" s="5" t="str">
        <f>$E$3</f>
        <v>BISHKEK</v>
      </c>
      <c r="G37" s="3"/>
      <c r="H37" s="3"/>
      <c r="I37" s="3"/>
      <c r="J37" s="3"/>
      <c r="K37" s="3"/>
      <c r="L37" s="3"/>
      <c r="M37" s="3"/>
      <c r="N37" s="5">
        <f>SUM(F37:M37)</f>
        <v>0</v>
      </c>
      <c r="O37" s="5">
        <v>1000</v>
      </c>
      <c r="P37" s="5">
        <f>O37-N37</f>
        <v>1000</v>
      </c>
    </row>
  </sheetData>
  <dataConsolidate/>
  <mergeCells count="2">
    <mergeCell ref="A7:A19"/>
    <mergeCell ref="A25:A37"/>
  </mergeCells>
  <phoneticPr fontId="1" type="noConversion"/>
  <dataValidations count="2">
    <dataValidation type="list" allowBlank="1" showInputMessage="1" showErrorMessage="1" sqref="D3 D22" xr:uid="{72B63195-EF7D-4E2B-88BA-1EABF21A9E48}">
      <formula1>"청도,연운,천진,다강"</formula1>
    </dataValidation>
    <dataValidation type="list" allowBlank="1" showInputMessage="1" showErrorMessage="1" sqref="E3 E22" xr:uid="{00E6F637-3A34-4CF3-9228-4E7832494EF6}">
      <formula1>"OSH,BISHKEK,ANDIJAN"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해상운임</vt:lpstr>
      <vt:lpstr>하버링크 C.C</vt:lpstr>
      <vt:lpstr>포트국경운임</vt:lpstr>
      <vt:lpstr>국경목적지운임</vt:lpstr>
      <vt:lpstr>원가산출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민정</dc:creator>
  <cp:lastModifiedBy>Jinyong Park</cp:lastModifiedBy>
  <dcterms:created xsi:type="dcterms:W3CDTF">2025-11-05T05:10:02Z</dcterms:created>
  <dcterms:modified xsi:type="dcterms:W3CDTF">2025-11-10T00:17:44Z</dcterms:modified>
</cp:coreProperties>
</file>